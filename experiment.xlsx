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M8S\StepperFrequency\experiment\"/>
    </mc:Choice>
  </mc:AlternateContent>
  <bookViews>
    <workbookView xWindow="0" yWindow="0" windowWidth="25200" windowHeight="1188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8" i="1" l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27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69" i="1"/>
  <c r="E128" i="1"/>
  <c r="E129" i="1"/>
  <c r="E130" i="1"/>
  <c r="E131" i="1"/>
  <c r="E132" i="1"/>
  <c r="E133" i="1"/>
  <c r="E140" i="1"/>
  <c r="E141" i="1"/>
  <c r="E142" i="1"/>
  <c r="E143" i="1"/>
  <c r="E144" i="1"/>
  <c r="E145" i="1"/>
  <c r="E152" i="1"/>
  <c r="E153" i="1"/>
  <c r="E154" i="1"/>
  <c r="E155" i="1"/>
  <c r="E156" i="1"/>
  <c r="E157" i="1"/>
  <c r="C127" i="1"/>
  <c r="E127" i="1" s="1"/>
  <c r="E151" i="1" l="1"/>
  <c r="E150" i="1"/>
  <c r="E149" i="1"/>
  <c r="E137" i="1"/>
  <c r="E160" i="1"/>
  <c r="E138" i="1"/>
  <c r="E148" i="1"/>
  <c r="E136" i="1"/>
  <c r="E139" i="1"/>
  <c r="E159" i="1"/>
  <c r="E147" i="1"/>
  <c r="E135" i="1"/>
  <c r="E158" i="1"/>
  <c r="E146" i="1"/>
  <c r="E134" i="1"/>
</calcChain>
</file>

<file path=xl/sharedStrings.xml><?xml version="1.0" encoding="utf-8"?>
<sst xmlns="http://schemas.openxmlformats.org/spreadsheetml/2006/main" count="28" uniqueCount="19">
  <si>
    <t>температура на мультиметре</t>
  </si>
  <si>
    <t>АЦП при нагреве</t>
  </si>
  <si>
    <t>АЦП при охлаждении</t>
  </si>
  <si>
    <t>Нагрев отключен на 250 градусах.На мультиметре рост температуры закончился на 268 градусах через 17 секунд. После отключения нагрева на АЦП произошёл скачёк показаний с 14 до 19. Через 46 секунд показания АЦП начали увеличиваться.</t>
  </si>
  <si>
    <t>подключен вентилятор охлаждения</t>
  </si>
  <si>
    <t>Эксперимент с резистором 100к</t>
  </si>
  <si>
    <t>Эксперимент с резистором 2к</t>
  </si>
  <si>
    <t>Эксперимент с резистором 150</t>
  </si>
  <si>
    <t>Эксперимент с резистором 150 на готовом устройстве</t>
  </si>
  <si>
    <t>R при 25 гардусах</t>
  </si>
  <si>
    <t>beta</t>
  </si>
  <si>
    <t>Температура 25 в Кельвинах</t>
  </si>
  <si>
    <t>Опорное U АЦП</t>
  </si>
  <si>
    <t>АЦП максимальное значение</t>
  </si>
  <si>
    <t>R второго резистора</t>
  </si>
  <si>
    <t>АЦП</t>
  </si>
  <si>
    <t>Напряжение</t>
  </si>
  <si>
    <t>R term</t>
  </si>
  <si>
    <t xml:space="preserve">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</si>
</sst>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Эксперимент</a:t>
            </a:r>
          </a:p>
        </c:rich>
      </c:tx>
      <c:layout>
        <c:manualLayout>
          <c:xMode val="edge"/>
          <c:yMode val="edge"/>
          <c:x val="0.3039026684164479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Лист1!$C$2</c:f>
              <c:strCache>
                <c:ptCount val="1"/>
                <c:pt idx="0">
                  <c:v>АЦП при нагреве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Лист1!$B$3:$B$26</c:f>
              <c:numCache>
                <c:formatCode>General</c:formatCode>
                <c:ptCount val="24"/>
                <c:pt idx="0">
                  <c:v>25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170</c:v>
                </c:pt>
                <c:pt idx="16">
                  <c:v>180</c:v>
                </c:pt>
                <c:pt idx="17">
                  <c:v>190</c:v>
                </c:pt>
                <c:pt idx="18">
                  <c:v>200</c:v>
                </c:pt>
                <c:pt idx="19">
                  <c:v>210</c:v>
                </c:pt>
                <c:pt idx="20">
                  <c:v>220</c:v>
                </c:pt>
                <c:pt idx="21">
                  <c:v>230</c:v>
                </c:pt>
                <c:pt idx="22">
                  <c:v>240</c:v>
                </c:pt>
                <c:pt idx="23">
                  <c:v>250</c:v>
                </c:pt>
              </c:numCache>
            </c:numRef>
          </c:xVal>
          <c:yVal>
            <c:numRef>
              <c:f>Лист1!$C$3:$C$26</c:f>
              <c:numCache>
                <c:formatCode>General</c:formatCode>
                <c:ptCount val="24"/>
                <c:pt idx="0">
                  <c:v>415</c:v>
                </c:pt>
                <c:pt idx="1">
                  <c:v>333</c:v>
                </c:pt>
                <c:pt idx="2">
                  <c:v>195</c:v>
                </c:pt>
                <c:pt idx="3">
                  <c:v>134</c:v>
                </c:pt>
                <c:pt idx="4">
                  <c:v>102</c:v>
                </c:pt>
                <c:pt idx="5">
                  <c:v>74</c:v>
                </c:pt>
                <c:pt idx="6">
                  <c:v>54</c:v>
                </c:pt>
                <c:pt idx="7">
                  <c:v>43</c:v>
                </c:pt>
                <c:pt idx="8">
                  <c:v>37</c:v>
                </c:pt>
                <c:pt idx="9">
                  <c:v>31</c:v>
                </c:pt>
                <c:pt idx="10">
                  <c:v>27</c:v>
                </c:pt>
                <c:pt idx="11">
                  <c:v>23</c:v>
                </c:pt>
                <c:pt idx="12">
                  <c:v>22</c:v>
                </c:pt>
                <c:pt idx="13">
                  <c:v>20</c:v>
                </c:pt>
                <c:pt idx="14">
                  <c:v>19</c:v>
                </c:pt>
                <c:pt idx="15">
                  <c:v>18</c:v>
                </c:pt>
                <c:pt idx="16">
                  <c:v>17</c:v>
                </c:pt>
                <c:pt idx="17">
                  <c:v>16</c:v>
                </c:pt>
                <c:pt idx="18">
                  <c:v>16</c:v>
                </c:pt>
                <c:pt idx="19">
                  <c:v>15</c:v>
                </c:pt>
                <c:pt idx="20">
                  <c:v>15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8956-46B4-AFCB-21D4AEBB87C3}"/>
            </c:ext>
          </c:extLst>
        </c:ser>
        <c:ser>
          <c:idx val="1"/>
          <c:order val="1"/>
          <c:tx>
            <c:strRef>
              <c:f>Лист1!$D$2</c:f>
              <c:strCache>
                <c:ptCount val="1"/>
                <c:pt idx="0">
                  <c:v>АЦП при охлаждении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Лист1!$B$3:$B$26</c:f>
              <c:numCache>
                <c:formatCode>General</c:formatCode>
                <c:ptCount val="24"/>
                <c:pt idx="0">
                  <c:v>25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170</c:v>
                </c:pt>
                <c:pt idx="16">
                  <c:v>180</c:v>
                </c:pt>
                <c:pt idx="17">
                  <c:v>190</c:v>
                </c:pt>
                <c:pt idx="18">
                  <c:v>200</c:v>
                </c:pt>
                <c:pt idx="19">
                  <c:v>210</c:v>
                </c:pt>
                <c:pt idx="20">
                  <c:v>220</c:v>
                </c:pt>
                <c:pt idx="21">
                  <c:v>230</c:v>
                </c:pt>
                <c:pt idx="22">
                  <c:v>240</c:v>
                </c:pt>
                <c:pt idx="23">
                  <c:v>250</c:v>
                </c:pt>
              </c:numCache>
            </c:numRef>
          </c:xVal>
          <c:yVal>
            <c:numRef>
              <c:f>Лист1!$D$3:$D$26</c:f>
              <c:numCache>
                <c:formatCode>General</c:formatCode>
                <c:ptCount val="24"/>
                <c:pt idx="0">
                  <c:v>500</c:v>
                </c:pt>
                <c:pt idx="1">
                  <c:v>448</c:v>
                </c:pt>
                <c:pt idx="2">
                  <c:v>359</c:v>
                </c:pt>
                <c:pt idx="3">
                  <c:v>276</c:v>
                </c:pt>
                <c:pt idx="4">
                  <c:v>212</c:v>
                </c:pt>
                <c:pt idx="5">
                  <c:v>157</c:v>
                </c:pt>
                <c:pt idx="6">
                  <c:v>118</c:v>
                </c:pt>
                <c:pt idx="7">
                  <c:v>92</c:v>
                </c:pt>
                <c:pt idx="8">
                  <c:v>71</c:v>
                </c:pt>
                <c:pt idx="9">
                  <c:v>57</c:v>
                </c:pt>
                <c:pt idx="10">
                  <c:v>48</c:v>
                </c:pt>
                <c:pt idx="11">
                  <c:v>41</c:v>
                </c:pt>
                <c:pt idx="12">
                  <c:v>35</c:v>
                </c:pt>
                <c:pt idx="13">
                  <c:v>32</c:v>
                </c:pt>
                <c:pt idx="14">
                  <c:v>29</c:v>
                </c:pt>
                <c:pt idx="15">
                  <c:v>26</c:v>
                </c:pt>
                <c:pt idx="16">
                  <c:v>24</c:v>
                </c:pt>
                <c:pt idx="17">
                  <c:v>23</c:v>
                </c:pt>
                <c:pt idx="18">
                  <c:v>22</c:v>
                </c:pt>
                <c:pt idx="19">
                  <c:v>21</c:v>
                </c:pt>
                <c:pt idx="20">
                  <c:v>21</c:v>
                </c:pt>
                <c:pt idx="21">
                  <c:v>20</c:v>
                </c:pt>
                <c:pt idx="22">
                  <c:v>20</c:v>
                </c:pt>
                <c:pt idx="23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956-46B4-AFCB-21D4AEBB8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884480"/>
        <c:axId val="486887432"/>
      </c:scatterChart>
      <c:valAx>
        <c:axId val="48688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887432"/>
        <c:crosses val="autoZero"/>
        <c:crossBetween val="midCat"/>
      </c:valAx>
      <c:valAx>
        <c:axId val="486887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884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Эксперимент</a:t>
            </a:r>
          </a:p>
        </c:rich>
      </c:tx>
      <c:layout>
        <c:manualLayout>
          <c:xMode val="edge"/>
          <c:yMode val="edge"/>
          <c:x val="0.3039026684164479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Лист1!$C$33</c:f>
              <c:strCache>
                <c:ptCount val="1"/>
                <c:pt idx="0">
                  <c:v>АЦП при нагреве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Лист1!$B$34:$B$57</c:f>
              <c:numCache>
                <c:formatCode>General</c:formatCode>
                <c:ptCount val="24"/>
                <c:pt idx="0">
                  <c:v>25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170</c:v>
                </c:pt>
                <c:pt idx="16">
                  <c:v>180</c:v>
                </c:pt>
                <c:pt idx="17">
                  <c:v>190</c:v>
                </c:pt>
                <c:pt idx="18">
                  <c:v>200</c:v>
                </c:pt>
                <c:pt idx="19">
                  <c:v>210</c:v>
                </c:pt>
                <c:pt idx="20">
                  <c:v>220</c:v>
                </c:pt>
                <c:pt idx="21">
                  <c:v>230</c:v>
                </c:pt>
                <c:pt idx="22">
                  <c:v>240</c:v>
                </c:pt>
                <c:pt idx="23">
                  <c:v>250</c:v>
                </c:pt>
              </c:numCache>
            </c:numRef>
          </c:xVal>
          <c:yVal>
            <c:numRef>
              <c:f>Лист1!$C$34:$C$57</c:f>
              <c:numCache>
                <c:formatCode>General</c:formatCode>
                <c:ptCount val="24"/>
                <c:pt idx="0">
                  <c:v>957</c:v>
                </c:pt>
                <c:pt idx="1">
                  <c:v>945</c:v>
                </c:pt>
                <c:pt idx="2">
                  <c:v>920</c:v>
                </c:pt>
                <c:pt idx="3">
                  <c:v>873</c:v>
                </c:pt>
                <c:pt idx="4">
                  <c:v>819</c:v>
                </c:pt>
                <c:pt idx="5">
                  <c:v>737</c:v>
                </c:pt>
                <c:pt idx="6">
                  <c:v>682</c:v>
                </c:pt>
                <c:pt idx="7">
                  <c:v>607</c:v>
                </c:pt>
                <c:pt idx="8">
                  <c:v>550</c:v>
                </c:pt>
                <c:pt idx="9">
                  <c:v>469</c:v>
                </c:pt>
                <c:pt idx="10">
                  <c:v>415</c:v>
                </c:pt>
                <c:pt idx="11">
                  <c:v>372</c:v>
                </c:pt>
                <c:pt idx="12">
                  <c:v>320</c:v>
                </c:pt>
                <c:pt idx="13">
                  <c:v>287</c:v>
                </c:pt>
                <c:pt idx="14">
                  <c:v>244</c:v>
                </c:pt>
                <c:pt idx="15">
                  <c:v>197</c:v>
                </c:pt>
                <c:pt idx="16">
                  <c:v>190</c:v>
                </c:pt>
                <c:pt idx="17">
                  <c:v>164</c:v>
                </c:pt>
                <c:pt idx="18">
                  <c:v>152</c:v>
                </c:pt>
                <c:pt idx="19">
                  <c:v>133</c:v>
                </c:pt>
                <c:pt idx="20">
                  <c:v>121</c:v>
                </c:pt>
                <c:pt idx="21">
                  <c:v>111</c:v>
                </c:pt>
                <c:pt idx="22">
                  <c:v>101</c:v>
                </c:pt>
                <c:pt idx="23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E1-417A-B9A5-72FD3E4A0A6D}"/>
            </c:ext>
          </c:extLst>
        </c:ser>
        <c:ser>
          <c:idx val="1"/>
          <c:order val="1"/>
          <c:tx>
            <c:strRef>
              <c:f>Лист1!$D$33</c:f>
              <c:strCache>
                <c:ptCount val="1"/>
                <c:pt idx="0">
                  <c:v>АЦП при охлаждении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Лист1!$B$38:$B$57</c:f>
              <c:numCache>
                <c:formatCode>General</c:formatCode>
                <c:ptCount val="20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  <c:pt idx="13">
                  <c:v>190</c:v>
                </c:pt>
                <c:pt idx="14">
                  <c:v>200</c:v>
                </c:pt>
                <c:pt idx="15">
                  <c:v>210</c:v>
                </c:pt>
                <c:pt idx="16">
                  <c:v>220</c:v>
                </c:pt>
                <c:pt idx="17">
                  <c:v>230</c:v>
                </c:pt>
                <c:pt idx="18">
                  <c:v>240</c:v>
                </c:pt>
                <c:pt idx="19">
                  <c:v>250</c:v>
                </c:pt>
              </c:numCache>
            </c:numRef>
          </c:xVal>
          <c:yVal>
            <c:numRef>
              <c:f>Лист1!$D$38:$D$57</c:f>
              <c:numCache>
                <c:formatCode>General</c:formatCode>
                <c:ptCount val="20"/>
                <c:pt idx="0">
                  <c:v>904</c:v>
                </c:pt>
                <c:pt idx="1">
                  <c:v>876</c:v>
                </c:pt>
                <c:pt idx="2">
                  <c:v>836</c:v>
                </c:pt>
                <c:pt idx="3">
                  <c:v>785</c:v>
                </c:pt>
                <c:pt idx="4">
                  <c:v>734</c:v>
                </c:pt>
                <c:pt idx="5">
                  <c:v>674</c:v>
                </c:pt>
                <c:pt idx="6">
                  <c:v>614</c:v>
                </c:pt>
                <c:pt idx="7">
                  <c:v>549</c:v>
                </c:pt>
                <c:pt idx="8">
                  <c:v>489</c:v>
                </c:pt>
                <c:pt idx="9">
                  <c:v>431</c:v>
                </c:pt>
                <c:pt idx="10">
                  <c:v>374</c:v>
                </c:pt>
                <c:pt idx="11">
                  <c:v>321</c:v>
                </c:pt>
                <c:pt idx="12">
                  <c:v>279</c:v>
                </c:pt>
                <c:pt idx="13">
                  <c:v>241</c:v>
                </c:pt>
                <c:pt idx="14">
                  <c:v>209</c:v>
                </c:pt>
                <c:pt idx="15">
                  <c:v>181</c:v>
                </c:pt>
                <c:pt idx="16">
                  <c:v>155</c:v>
                </c:pt>
                <c:pt idx="17">
                  <c:v>136</c:v>
                </c:pt>
                <c:pt idx="18">
                  <c:v>120</c:v>
                </c:pt>
                <c:pt idx="19">
                  <c:v>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E1-417A-B9A5-72FD3E4A0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884480"/>
        <c:axId val="486887432"/>
      </c:scatterChart>
      <c:valAx>
        <c:axId val="48688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887432"/>
        <c:crosses val="autoZero"/>
        <c:crossBetween val="midCat"/>
      </c:valAx>
      <c:valAx>
        <c:axId val="486887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884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Эксперимент</a:t>
            </a:r>
          </a:p>
        </c:rich>
      </c:tx>
      <c:layout>
        <c:manualLayout>
          <c:xMode val="edge"/>
          <c:yMode val="edge"/>
          <c:x val="0.3039026684164479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Лист1!$C$60</c:f>
              <c:strCache>
                <c:ptCount val="1"/>
                <c:pt idx="0">
                  <c:v>АЦП при нагреве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Лист1!$B$61:$B$87</c:f>
              <c:numCache>
                <c:formatCode>General</c:formatCode>
                <c:ptCount val="27"/>
                <c:pt idx="0">
                  <c:v>25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170</c:v>
                </c:pt>
                <c:pt idx="16">
                  <c:v>180</c:v>
                </c:pt>
                <c:pt idx="17">
                  <c:v>190</c:v>
                </c:pt>
                <c:pt idx="18">
                  <c:v>200</c:v>
                </c:pt>
                <c:pt idx="19">
                  <c:v>210</c:v>
                </c:pt>
                <c:pt idx="20">
                  <c:v>220</c:v>
                </c:pt>
                <c:pt idx="21">
                  <c:v>230</c:v>
                </c:pt>
                <c:pt idx="22">
                  <c:v>240</c:v>
                </c:pt>
                <c:pt idx="23">
                  <c:v>250</c:v>
                </c:pt>
                <c:pt idx="24">
                  <c:v>260</c:v>
                </c:pt>
                <c:pt idx="25">
                  <c:v>270</c:v>
                </c:pt>
                <c:pt idx="26">
                  <c:v>280</c:v>
                </c:pt>
              </c:numCache>
            </c:numRef>
          </c:xVal>
          <c:yVal>
            <c:numRef>
              <c:f>Лист1!$C$61:$C$87</c:f>
              <c:numCache>
                <c:formatCode>General</c:formatCode>
                <c:ptCount val="27"/>
                <c:pt idx="0">
                  <c:v>981</c:v>
                </c:pt>
                <c:pt idx="1">
                  <c:v>980</c:v>
                </c:pt>
                <c:pt idx="2">
                  <c:v>978</c:v>
                </c:pt>
                <c:pt idx="3">
                  <c:v>973</c:v>
                </c:pt>
                <c:pt idx="4">
                  <c:v>968</c:v>
                </c:pt>
                <c:pt idx="5">
                  <c:v>963</c:v>
                </c:pt>
                <c:pt idx="6">
                  <c:v>952</c:v>
                </c:pt>
                <c:pt idx="7">
                  <c:v>940</c:v>
                </c:pt>
                <c:pt idx="8">
                  <c:v>928</c:v>
                </c:pt>
                <c:pt idx="9">
                  <c:v>909</c:v>
                </c:pt>
                <c:pt idx="10">
                  <c:v>882</c:v>
                </c:pt>
                <c:pt idx="11">
                  <c:v>858</c:v>
                </c:pt>
                <c:pt idx="12">
                  <c:v>836</c:v>
                </c:pt>
                <c:pt idx="13">
                  <c:v>803</c:v>
                </c:pt>
                <c:pt idx="14">
                  <c:v>775</c:v>
                </c:pt>
                <c:pt idx="15">
                  <c:v>737</c:v>
                </c:pt>
                <c:pt idx="16">
                  <c:v>703</c:v>
                </c:pt>
                <c:pt idx="17">
                  <c:v>661</c:v>
                </c:pt>
                <c:pt idx="18">
                  <c:v>623</c:v>
                </c:pt>
                <c:pt idx="19">
                  <c:v>578</c:v>
                </c:pt>
                <c:pt idx="20">
                  <c:v>542</c:v>
                </c:pt>
                <c:pt idx="21">
                  <c:v>505</c:v>
                </c:pt>
                <c:pt idx="22">
                  <c:v>471</c:v>
                </c:pt>
                <c:pt idx="23">
                  <c:v>445</c:v>
                </c:pt>
                <c:pt idx="24">
                  <c:v>412</c:v>
                </c:pt>
                <c:pt idx="25">
                  <c:v>384</c:v>
                </c:pt>
                <c:pt idx="26">
                  <c:v>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E7-4113-93BE-9E0393CF11AF}"/>
            </c:ext>
          </c:extLst>
        </c:ser>
        <c:ser>
          <c:idx val="1"/>
          <c:order val="1"/>
          <c:tx>
            <c:strRef>
              <c:f>Лист1!$D$60</c:f>
              <c:strCache>
                <c:ptCount val="1"/>
                <c:pt idx="0">
                  <c:v>АЦП при охлаждении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Лист1!$B$69:$B$87</c:f>
              <c:numCache>
                <c:formatCode>General</c:formatCode>
                <c:ptCount val="19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  <c:pt idx="11">
                  <c:v>210</c:v>
                </c:pt>
                <c:pt idx="12">
                  <c:v>220</c:v>
                </c:pt>
                <c:pt idx="13">
                  <c:v>230</c:v>
                </c:pt>
                <c:pt idx="14">
                  <c:v>240</c:v>
                </c:pt>
                <c:pt idx="15">
                  <c:v>250</c:v>
                </c:pt>
                <c:pt idx="16">
                  <c:v>260</c:v>
                </c:pt>
                <c:pt idx="17">
                  <c:v>270</c:v>
                </c:pt>
                <c:pt idx="18">
                  <c:v>280</c:v>
                </c:pt>
              </c:numCache>
            </c:numRef>
          </c:xVal>
          <c:yVal>
            <c:numRef>
              <c:f>Лист1!$D$69:$D$87</c:f>
              <c:numCache>
                <c:formatCode>General</c:formatCode>
                <c:ptCount val="19"/>
                <c:pt idx="0">
                  <c:v>956</c:v>
                </c:pt>
                <c:pt idx="1">
                  <c:v>947</c:v>
                </c:pt>
                <c:pt idx="2">
                  <c:v>936</c:v>
                </c:pt>
                <c:pt idx="3">
                  <c:v>922</c:v>
                </c:pt>
                <c:pt idx="4">
                  <c:v>905</c:v>
                </c:pt>
                <c:pt idx="5">
                  <c:v>884</c:v>
                </c:pt>
                <c:pt idx="6">
                  <c:v>860</c:v>
                </c:pt>
                <c:pt idx="7">
                  <c:v>834</c:v>
                </c:pt>
                <c:pt idx="8">
                  <c:v>796</c:v>
                </c:pt>
                <c:pt idx="9">
                  <c:v>761</c:v>
                </c:pt>
                <c:pt idx="10">
                  <c:v>724</c:v>
                </c:pt>
                <c:pt idx="11">
                  <c:v>682</c:v>
                </c:pt>
                <c:pt idx="12">
                  <c:v>639</c:v>
                </c:pt>
                <c:pt idx="13">
                  <c:v>596</c:v>
                </c:pt>
                <c:pt idx="14">
                  <c:v>558</c:v>
                </c:pt>
                <c:pt idx="15">
                  <c:v>524</c:v>
                </c:pt>
                <c:pt idx="16">
                  <c:v>480</c:v>
                </c:pt>
                <c:pt idx="17">
                  <c:v>448</c:v>
                </c:pt>
                <c:pt idx="18">
                  <c:v>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E7-4113-93BE-9E0393CF11A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Лист1!$E$69:$E$87</c:f>
              <c:numCache>
                <c:formatCode>General</c:formatCode>
                <c:ptCount val="19"/>
                <c:pt idx="0">
                  <c:v>138.352</c:v>
                </c:pt>
                <c:pt idx="1">
                  <c:v>140.67400000000001</c:v>
                </c:pt>
                <c:pt idx="2">
                  <c:v>143.512</c:v>
                </c:pt>
                <c:pt idx="3">
                  <c:v>147.124</c:v>
                </c:pt>
                <c:pt idx="4">
                  <c:v>151.51</c:v>
                </c:pt>
                <c:pt idx="5">
                  <c:v>156.928</c:v>
                </c:pt>
                <c:pt idx="6">
                  <c:v>163.12</c:v>
                </c:pt>
                <c:pt idx="7">
                  <c:v>169.828</c:v>
                </c:pt>
                <c:pt idx="8">
                  <c:v>179.63200000000001</c:v>
                </c:pt>
                <c:pt idx="9">
                  <c:v>188.66200000000001</c:v>
                </c:pt>
                <c:pt idx="10">
                  <c:v>198.208</c:v>
                </c:pt>
                <c:pt idx="11">
                  <c:v>209.04399999999998</c:v>
                </c:pt>
                <c:pt idx="12">
                  <c:v>220.13800000000001</c:v>
                </c:pt>
                <c:pt idx="13">
                  <c:v>231.232</c:v>
                </c:pt>
                <c:pt idx="14">
                  <c:v>241.036</c:v>
                </c:pt>
                <c:pt idx="15">
                  <c:v>249.80799999999999</c:v>
                </c:pt>
                <c:pt idx="16">
                  <c:v>261.15999999999997</c:v>
                </c:pt>
                <c:pt idx="17">
                  <c:v>269.416</c:v>
                </c:pt>
                <c:pt idx="18">
                  <c:v>278.44600000000003</c:v>
                </c:pt>
              </c:numCache>
            </c:numRef>
          </c:xVal>
          <c:yVal>
            <c:numRef>
              <c:f>Лист1!$D$69:$D$87</c:f>
              <c:numCache>
                <c:formatCode>General</c:formatCode>
                <c:ptCount val="19"/>
                <c:pt idx="0">
                  <c:v>956</c:v>
                </c:pt>
                <c:pt idx="1">
                  <c:v>947</c:v>
                </c:pt>
                <c:pt idx="2">
                  <c:v>936</c:v>
                </c:pt>
                <c:pt idx="3">
                  <c:v>922</c:v>
                </c:pt>
                <c:pt idx="4">
                  <c:v>905</c:v>
                </c:pt>
                <c:pt idx="5">
                  <c:v>884</c:v>
                </c:pt>
                <c:pt idx="6">
                  <c:v>860</c:v>
                </c:pt>
                <c:pt idx="7">
                  <c:v>834</c:v>
                </c:pt>
                <c:pt idx="8">
                  <c:v>796</c:v>
                </c:pt>
                <c:pt idx="9">
                  <c:v>761</c:v>
                </c:pt>
                <c:pt idx="10">
                  <c:v>724</c:v>
                </c:pt>
                <c:pt idx="11">
                  <c:v>682</c:v>
                </c:pt>
                <c:pt idx="12">
                  <c:v>639</c:v>
                </c:pt>
                <c:pt idx="13">
                  <c:v>596</c:v>
                </c:pt>
                <c:pt idx="14">
                  <c:v>558</c:v>
                </c:pt>
                <c:pt idx="15">
                  <c:v>524</c:v>
                </c:pt>
                <c:pt idx="16">
                  <c:v>480</c:v>
                </c:pt>
                <c:pt idx="17">
                  <c:v>448</c:v>
                </c:pt>
                <c:pt idx="18">
                  <c:v>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E7-4113-93BE-9E0393CF11AF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Лист1!$E$137:$E$158</c:f>
              <c:numCache>
                <c:formatCode>0.00</c:formatCode>
                <c:ptCount val="22"/>
                <c:pt idx="0">
                  <c:v>310.37967553884312</c:v>
                </c:pt>
                <c:pt idx="1">
                  <c:v>299.42237631948012</c:v>
                </c:pt>
                <c:pt idx="2">
                  <c:v>289.28041902690575</c:v>
                </c:pt>
                <c:pt idx="3">
                  <c:v>279.77764244586183</c:v>
                </c:pt>
                <c:pt idx="4">
                  <c:v>270.77620740355076</c:v>
                </c:pt>
                <c:pt idx="5">
                  <c:v>262.16436188160185</c:v>
                </c:pt>
                <c:pt idx="6">
                  <c:v>253.84810436535633</c:v>
                </c:pt>
                <c:pt idx="7">
                  <c:v>245.74515663232182</c:v>
                </c:pt>
                <c:pt idx="8">
                  <c:v>237.78026922418559</c:v>
                </c:pt>
                <c:pt idx="9">
                  <c:v>229.88119063782136</c:v>
                </c:pt>
                <c:pt idx="10">
                  <c:v>221.97475770031599</c:v>
                </c:pt>
                <c:pt idx="11">
                  <c:v>213.98255074470222</c:v>
                </c:pt>
                <c:pt idx="12">
                  <c:v>205.81538301099403</c:v>
                </c:pt>
                <c:pt idx="13">
                  <c:v>197.3654567976568</c:v>
                </c:pt>
                <c:pt idx="14">
                  <c:v>188.49404367786371</c:v>
                </c:pt>
                <c:pt idx="15">
                  <c:v>179.01030156054713</c:v>
                </c:pt>
                <c:pt idx="16">
                  <c:v>168.63120942188237</c:v>
                </c:pt>
                <c:pt idx="17">
                  <c:v>156.8965203468918</c:v>
                </c:pt>
                <c:pt idx="18">
                  <c:v>142.95736123664062</c:v>
                </c:pt>
                <c:pt idx="19">
                  <c:v>124.90385886552525</c:v>
                </c:pt>
                <c:pt idx="20">
                  <c:v>96.290183913711985</c:v>
                </c:pt>
                <c:pt idx="21">
                  <c:v>89.355932970909521</c:v>
                </c:pt>
              </c:numCache>
            </c:numRef>
          </c:xVal>
          <c:yVal>
            <c:numRef>
              <c:f>Лист1!$B$137:$B$158</c:f>
              <c:numCache>
                <c:formatCode>General</c:formatCode>
                <c:ptCount val="22"/>
                <c:pt idx="0">
                  <c:v>320</c:v>
                </c:pt>
                <c:pt idx="1">
                  <c:v>352</c:v>
                </c:pt>
                <c:pt idx="2">
                  <c:v>384</c:v>
                </c:pt>
                <c:pt idx="3">
                  <c:v>416</c:v>
                </c:pt>
                <c:pt idx="4">
                  <c:v>448</c:v>
                </c:pt>
                <c:pt idx="5">
                  <c:v>480</c:v>
                </c:pt>
                <c:pt idx="6">
                  <c:v>512</c:v>
                </c:pt>
                <c:pt idx="7">
                  <c:v>544</c:v>
                </c:pt>
                <c:pt idx="8">
                  <c:v>576</c:v>
                </c:pt>
                <c:pt idx="9">
                  <c:v>608</c:v>
                </c:pt>
                <c:pt idx="10">
                  <c:v>640</c:v>
                </c:pt>
                <c:pt idx="11">
                  <c:v>672</c:v>
                </c:pt>
                <c:pt idx="12">
                  <c:v>704</c:v>
                </c:pt>
                <c:pt idx="13">
                  <c:v>736</c:v>
                </c:pt>
                <c:pt idx="14">
                  <c:v>768</c:v>
                </c:pt>
                <c:pt idx="15">
                  <c:v>800</c:v>
                </c:pt>
                <c:pt idx="16">
                  <c:v>832</c:v>
                </c:pt>
                <c:pt idx="17">
                  <c:v>864</c:v>
                </c:pt>
                <c:pt idx="18">
                  <c:v>896</c:v>
                </c:pt>
                <c:pt idx="19">
                  <c:v>928</c:v>
                </c:pt>
                <c:pt idx="20">
                  <c:v>960</c:v>
                </c:pt>
                <c:pt idx="21">
                  <c:v>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7E-4D51-8191-A531E4551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884480"/>
        <c:axId val="486887432"/>
      </c:scatterChart>
      <c:valAx>
        <c:axId val="48688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887432"/>
        <c:crosses val="autoZero"/>
        <c:crossBetween val="midCat"/>
      </c:valAx>
      <c:valAx>
        <c:axId val="486887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884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Эксперимент</a:t>
            </a:r>
          </a:p>
        </c:rich>
      </c:tx>
      <c:layout>
        <c:manualLayout>
          <c:xMode val="edge"/>
          <c:yMode val="edge"/>
          <c:x val="0.3039026684164479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Лист1!$E$69:$E$87</c:f>
              <c:numCache>
                <c:formatCode>General</c:formatCode>
                <c:ptCount val="19"/>
                <c:pt idx="0">
                  <c:v>138.352</c:v>
                </c:pt>
                <c:pt idx="1">
                  <c:v>140.67400000000001</c:v>
                </c:pt>
                <c:pt idx="2">
                  <c:v>143.512</c:v>
                </c:pt>
                <c:pt idx="3">
                  <c:v>147.124</c:v>
                </c:pt>
                <c:pt idx="4">
                  <c:v>151.51</c:v>
                </c:pt>
                <c:pt idx="5">
                  <c:v>156.928</c:v>
                </c:pt>
                <c:pt idx="6">
                  <c:v>163.12</c:v>
                </c:pt>
                <c:pt idx="7">
                  <c:v>169.828</c:v>
                </c:pt>
                <c:pt idx="8">
                  <c:v>179.63200000000001</c:v>
                </c:pt>
                <c:pt idx="9">
                  <c:v>188.66200000000001</c:v>
                </c:pt>
                <c:pt idx="10">
                  <c:v>198.208</c:v>
                </c:pt>
                <c:pt idx="11">
                  <c:v>209.04399999999998</c:v>
                </c:pt>
                <c:pt idx="12">
                  <c:v>220.13800000000001</c:v>
                </c:pt>
                <c:pt idx="13">
                  <c:v>231.232</c:v>
                </c:pt>
                <c:pt idx="14">
                  <c:v>241.036</c:v>
                </c:pt>
                <c:pt idx="15">
                  <c:v>249.80799999999999</c:v>
                </c:pt>
                <c:pt idx="16">
                  <c:v>261.15999999999997</c:v>
                </c:pt>
                <c:pt idx="17">
                  <c:v>269.416</c:v>
                </c:pt>
                <c:pt idx="18">
                  <c:v>278.44600000000003</c:v>
                </c:pt>
              </c:numCache>
            </c:numRef>
          </c:xVal>
          <c:yVal>
            <c:numRef>
              <c:f>Лист1!$D$69:$D$87</c:f>
              <c:numCache>
                <c:formatCode>General</c:formatCode>
                <c:ptCount val="19"/>
                <c:pt idx="0">
                  <c:v>956</c:v>
                </c:pt>
                <c:pt idx="1">
                  <c:v>947</c:v>
                </c:pt>
                <c:pt idx="2">
                  <c:v>936</c:v>
                </c:pt>
                <c:pt idx="3">
                  <c:v>922</c:v>
                </c:pt>
                <c:pt idx="4">
                  <c:v>905</c:v>
                </c:pt>
                <c:pt idx="5">
                  <c:v>884</c:v>
                </c:pt>
                <c:pt idx="6">
                  <c:v>860</c:v>
                </c:pt>
                <c:pt idx="7">
                  <c:v>834</c:v>
                </c:pt>
                <c:pt idx="8">
                  <c:v>796</c:v>
                </c:pt>
                <c:pt idx="9">
                  <c:v>761</c:v>
                </c:pt>
                <c:pt idx="10">
                  <c:v>724</c:v>
                </c:pt>
                <c:pt idx="11">
                  <c:v>682</c:v>
                </c:pt>
                <c:pt idx="12">
                  <c:v>639</c:v>
                </c:pt>
                <c:pt idx="13">
                  <c:v>596</c:v>
                </c:pt>
                <c:pt idx="14">
                  <c:v>558</c:v>
                </c:pt>
                <c:pt idx="15">
                  <c:v>524</c:v>
                </c:pt>
                <c:pt idx="16">
                  <c:v>480</c:v>
                </c:pt>
                <c:pt idx="17">
                  <c:v>448</c:v>
                </c:pt>
                <c:pt idx="18">
                  <c:v>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DB-46CE-867F-35C3092519B8}"/>
            </c:ext>
          </c:extLst>
        </c:ser>
        <c:ser>
          <c:idx val="3"/>
          <c:order val="1"/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Лист1!$E$137:$E$160</c:f>
              <c:numCache>
                <c:formatCode>0.00</c:formatCode>
                <c:ptCount val="24"/>
                <c:pt idx="0">
                  <c:v>310.37967553884312</c:v>
                </c:pt>
                <c:pt idx="1">
                  <c:v>299.42237631948012</c:v>
                </c:pt>
                <c:pt idx="2">
                  <c:v>289.28041902690575</c:v>
                </c:pt>
                <c:pt idx="3">
                  <c:v>279.77764244586183</c:v>
                </c:pt>
                <c:pt idx="4">
                  <c:v>270.77620740355076</c:v>
                </c:pt>
                <c:pt idx="5">
                  <c:v>262.16436188160185</c:v>
                </c:pt>
                <c:pt idx="6">
                  <c:v>253.84810436535633</c:v>
                </c:pt>
                <c:pt idx="7">
                  <c:v>245.74515663232182</c:v>
                </c:pt>
                <c:pt idx="8">
                  <c:v>237.78026922418559</c:v>
                </c:pt>
                <c:pt idx="9">
                  <c:v>229.88119063782136</c:v>
                </c:pt>
                <c:pt idx="10">
                  <c:v>221.97475770031599</c:v>
                </c:pt>
                <c:pt idx="11">
                  <c:v>213.98255074470222</c:v>
                </c:pt>
                <c:pt idx="12">
                  <c:v>205.81538301099403</c:v>
                </c:pt>
                <c:pt idx="13">
                  <c:v>197.3654567976568</c:v>
                </c:pt>
                <c:pt idx="14">
                  <c:v>188.49404367786371</c:v>
                </c:pt>
                <c:pt idx="15">
                  <c:v>179.01030156054713</c:v>
                </c:pt>
                <c:pt idx="16">
                  <c:v>168.63120942188237</c:v>
                </c:pt>
                <c:pt idx="17">
                  <c:v>156.8965203468918</c:v>
                </c:pt>
                <c:pt idx="18">
                  <c:v>142.95736123664062</c:v>
                </c:pt>
                <c:pt idx="19">
                  <c:v>124.90385886552525</c:v>
                </c:pt>
                <c:pt idx="20">
                  <c:v>96.290183913711985</c:v>
                </c:pt>
                <c:pt idx="21">
                  <c:v>89.355932970909521</c:v>
                </c:pt>
                <c:pt idx="22">
                  <c:v>80.83462579209305</c:v>
                </c:pt>
                <c:pt idx="23">
                  <c:v>56.355429670246963</c:v>
                </c:pt>
              </c:numCache>
            </c:numRef>
          </c:xVal>
          <c:yVal>
            <c:numRef>
              <c:f>Лист1!$B$137:$B$160</c:f>
              <c:numCache>
                <c:formatCode>General</c:formatCode>
                <c:ptCount val="24"/>
                <c:pt idx="0">
                  <c:v>320</c:v>
                </c:pt>
                <c:pt idx="1">
                  <c:v>352</c:v>
                </c:pt>
                <c:pt idx="2">
                  <c:v>384</c:v>
                </c:pt>
                <c:pt idx="3">
                  <c:v>416</c:v>
                </c:pt>
                <c:pt idx="4">
                  <c:v>448</c:v>
                </c:pt>
                <c:pt idx="5">
                  <c:v>480</c:v>
                </c:pt>
                <c:pt idx="6">
                  <c:v>512</c:v>
                </c:pt>
                <c:pt idx="7">
                  <c:v>544</c:v>
                </c:pt>
                <c:pt idx="8">
                  <c:v>576</c:v>
                </c:pt>
                <c:pt idx="9">
                  <c:v>608</c:v>
                </c:pt>
                <c:pt idx="10">
                  <c:v>640</c:v>
                </c:pt>
                <c:pt idx="11">
                  <c:v>672</c:v>
                </c:pt>
                <c:pt idx="12">
                  <c:v>704</c:v>
                </c:pt>
                <c:pt idx="13">
                  <c:v>736</c:v>
                </c:pt>
                <c:pt idx="14">
                  <c:v>768</c:v>
                </c:pt>
                <c:pt idx="15">
                  <c:v>800</c:v>
                </c:pt>
                <c:pt idx="16">
                  <c:v>832</c:v>
                </c:pt>
                <c:pt idx="17">
                  <c:v>864</c:v>
                </c:pt>
                <c:pt idx="18">
                  <c:v>896</c:v>
                </c:pt>
                <c:pt idx="19">
                  <c:v>928</c:v>
                </c:pt>
                <c:pt idx="20">
                  <c:v>960</c:v>
                </c:pt>
                <c:pt idx="21">
                  <c:v>965</c:v>
                </c:pt>
                <c:pt idx="22">
                  <c:v>970</c:v>
                </c:pt>
                <c:pt idx="23">
                  <c:v>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7DB-46CE-867F-35C3092519B8}"/>
            </c:ext>
          </c:extLst>
        </c:ser>
        <c:ser>
          <c:idx val="0"/>
          <c:order val="2"/>
          <c:tx>
            <c:strRef>
              <c:f>Лист1!$C$60</c:f>
              <c:strCache>
                <c:ptCount val="1"/>
                <c:pt idx="0">
                  <c:v>АЦП при нагреве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Лист1!$B$61:$B$87</c:f>
              <c:numCache>
                <c:formatCode>General</c:formatCode>
                <c:ptCount val="27"/>
                <c:pt idx="0">
                  <c:v>25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170</c:v>
                </c:pt>
                <c:pt idx="16">
                  <c:v>180</c:v>
                </c:pt>
                <c:pt idx="17">
                  <c:v>190</c:v>
                </c:pt>
                <c:pt idx="18">
                  <c:v>200</c:v>
                </c:pt>
                <c:pt idx="19">
                  <c:v>210</c:v>
                </c:pt>
                <c:pt idx="20">
                  <c:v>220</c:v>
                </c:pt>
                <c:pt idx="21">
                  <c:v>230</c:v>
                </c:pt>
                <c:pt idx="22">
                  <c:v>240</c:v>
                </c:pt>
                <c:pt idx="23">
                  <c:v>250</c:v>
                </c:pt>
                <c:pt idx="24">
                  <c:v>260</c:v>
                </c:pt>
                <c:pt idx="25">
                  <c:v>270</c:v>
                </c:pt>
                <c:pt idx="26">
                  <c:v>280</c:v>
                </c:pt>
              </c:numCache>
            </c:numRef>
          </c:xVal>
          <c:yVal>
            <c:numRef>
              <c:f>Лист1!$C$61:$C$87</c:f>
              <c:numCache>
                <c:formatCode>General</c:formatCode>
                <c:ptCount val="27"/>
                <c:pt idx="0">
                  <c:v>981</c:v>
                </c:pt>
                <c:pt idx="1">
                  <c:v>980</c:v>
                </c:pt>
                <c:pt idx="2">
                  <c:v>978</c:v>
                </c:pt>
                <c:pt idx="3">
                  <c:v>973</c:v>
                </c:pt>
                <c:pt idx="4">
                  <c:v>968</c:v>
                </c:pt>
                <c:pt idx="5">
                  <c:v>963</c:v>
                </c:pt>
                <c:pt idx="6">
                  <c:v>952</c:v>
                </c:pt>
                <c:pt idx="7">
                  <c:v>940</c:v>
                </c:pt>
                <c:pt idx="8">
                  <c:v>928</c:v>
                </c:pt>
                <c:pt idx="9">
                  <c:v>909</c:v>
                </c:pt>
                <c:pt idx="10">
                  <c:v>882</c:v>
                </c:pt>
                <c:pt idx="11">
                  <c:v>858</c:v>
                </c:pt>
                <c:pt idx="12">
                  <c:v>836</c:v>
                </c:pt>
                <c:pt idx="13">
                  <c:v>803</c:v>
                </c:pt>
                <c:pt idx="14">
                  <c:v>775</c:v>
                </c:pt>
                <c:pt idx="15">
                  <c:v>737</c:v>
                </c:pt>
                <c:pt idx="16">
                  <c:v>703</c:v>
                </c:pt>
                <c:pt idx="17">
                  <c:v>661</c:v>
                </c:pt>
                <c:pt idx="18">
                  <c:v>623</c:v>
                </c:pt>
                <c:pt idx="19">
                  <c:v>578</c:v>
                </c:pt>
                <c:pt idx="20">
                  <c:v>542</c:v>
                </c:pt>
                <c:pt idx="21">
                  <c:v>505</c:v>
                </c:pt>
                <c:pt idx="22">
                  <c:v>471</c:v>
                </c:pt>
                <c:pt idx="23">
                  <c:v>445</c:v>
                </c:pt>
                <c:pt idx="24">
                  <c:v>412</c:v>
                </c:pt>
                <c:pt idx="25">
                  <c:v>384</c:v>
                </c:pt>
                <c:pt idx="26">
                  <c:v>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DB-46CE-867F-35C3092519B8}"/>
            </c:ext>
          </c:extLst>
        </c:ser>
        <c:ser>
          <c:idx val="1"/>
          <c:order val="3"/>
          <c:tx>
            <c:strRef>
              <c:f>Лист1!$D$60</c:f>
              <c:strCache>
                <c:ptCount val="1"/>
                <c:pt idx="0">
                  <c:v>АЦП при охлаждении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Лист1!$B$69:$B$87</c:f>
              <c:numCache>
                <c:formatCode>General</c:formatCode>
                <c:ptCount val="19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  <c:pt idx="11">
                  <c:v>210</c:v>
                </c:pt>
                <c:pt idx="12">
                  <c:v>220</c:v>
                </c:pt>
                <c:pt idx="13">
                  <c:v>230</c:v>
                </c:pt>
                <c:pt idx="14">
                  <c:v>240</c:v>
                </c:pt>
                <c:pt idx="15">
                  <c:v>250</c:v>
                </c:pt>
                <c:pt idx="16">
                  <c:v>260</c:v>
                </c:pt>
                <c:pt idx="17">
                  <c:v>270</c:v>
                </c:pt>
                <c:pt idx="18">
                  <c:v>280</c:v>
                </c:pt>
              </c:numCache>
            </c:numRef>
          </c:xVal>
          <c:yVal>
            <c:numRef>
              <c:f>Лист1!$D$69:$D$87</c:f>
              <c:numCache>
                <c:formatCode>General</c:formatCode>
                <c:ptCount val="19"/>
                <c:pt idx="0">
                  <c:v>956</c:v>
                </c:pt>
                <c:pt idx="1">
                  <c:v>947</c:v>
                </c:pt>
                <c:pt idx="2">
                  <c:v>936</c:v>
                </c:pt>
                <c:pt idx="3">
                  <c:v>922</c:v>
                </c:pt>
                <c:pt idx="4">
                  <c:v>905</c:v>
                </c:pt>
                <c:pt idx="5">
                  <c:v>884</c:v>
                </c:pt>
                <c:pt idx="6">
                  <c:v>860</c:v>
                </c:pt>
                <c:pt idx="7">
                  <c:v>834</c:v>
                </c:pt>
                <c:pt idx="8">
                  <c:v>796</c:v>
                </c:pt>
                <c:pt idx="9">
                  <c:v>761</c:v>
                </c:pt>
                <c:pt idx="10">
                  <c:v>724</c:v>
                </c:pt>
                <c:pt idx="11">
                  <c:v>682</c:v>
                </c:pt>
                <c:pt idx="12">
                  <c:v>639</c:v>
                </c:pt>
                <c:pt idx="13">
                  <c:v>596</c:v>
                </c:pt>
                <c:pt idx="14">
                  <c:v>558</c:v>
                </c:pt>
                <c:pt idx="15">
                  <c:v>524</c:v>
                </c:pt>
                <c:pt idx="16">
                  <c:v>480</c:v>
                </c:pt>
                <c:pt idx="17">
                  <c:v>448</c:v>
                </c:pt>
                <c:pt idx="18">
                  <c:v>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DB-46CE-867F-35C309251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884480"/>
        <c:axId val="486887432"/>
      </c:scatterChart>
      <c:valAx>
        <c:axId val="48688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887432"/>
        <c:crosses val="autoZero"/>
        <c:crossBetween val="midCat"/>
      </c:valAx>
      <c:valAx>
        <c:axId val="486887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884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1116724</xdr:colOff>
      <xdr:row>2</xdr:row>
      <xdr:rowOff>19707</xdr:rowOff>
    </xdr:from>
    <xdr:to>
      <xdr:col>10</xdr:col>
      <xdr:colOff>440121</xdr:colOff>
      <xdr:row>24</xdr:row>
      <xdr:rowOff>183931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807982</xdr:colOff>
      <xdr:row>33</xdr:row>
      <xdr:rowOff>170794</xdr:rowOff>
    </xdr:from>
    <xdr:to>
      <xdr:col>10</xdr:col>
      <xdr:colOff>131379</xdr:colOff>
      <xdr:row>56</xdr:row>
      <xdr:rowOff>144518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105103</xdr:colOff>
      <xdr:row>57</xdr:row>
      <xdr:rowOff>144517</xdr:rowOff>
    </xdr:from>
    <xdr:to>
      <xdr:col>12</xdr:col>
      <xdr:colOff>400706</xdr:colOff>
      <xdr:row>83</xdr:row>
      <xdr:rowOff>39414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72257</xdr:colOff>
      <xdr:row>122</xdr:row>
      <xdr:rowOff>6569</xdr:rowOff>
    </xdr:from>
    <xdr:to>
      <xdr:col>16</xdr:col>
      <xdr:colOff>124811</xdr:colOff>
      <xdr:row>147</xdr:row>
      <xdr:rowOff>91966</xdr:rowOff>
    </xdr:to>
    <xdr:graphicFrame macro="">
      <xdr:nvGraphicFramePr>
        <xdr:cNvPr id="11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1"/>
  <sheetViews>
    <sheetView tabSelected="1" topLeftCell="A116" zoomScale="145" zoomScaleNormal="145" workbookViewId="0">
      <selection activeCell="D126" sqref="D126"/>
    </sheetView>
  </sheetViews>
  <sheetFormatPr defaultRowHeight="15" x14ac:dyDescent="0.25"/>
  <cols>
    <col min="2" max="2" width="27.140625" customWidth="1"/>
    <col min="3" max="3" width="15.42578125" customWidth="1"/>
    <col min="4" max="4" width="19.7109375" customWidth="1"/>
    <col min="5" max="5" width="32.85546875" customWidth="1"/>
  </cols>
  <sheetData>
    <row r="1" spans="1:11" x14ac:dyDescent="0.25">
      <c r="A1" s="2" t="s">
        <v>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B2" t="s">
        <v>0</v>
      </c>
      <c r="C2" t="s">
        <v>1</v>
      </c>
      <c r="D2" t="s">
        <v>2</v>
      </c>
    </row>
    <row r="3" spans="1:11" x14ac:dyDescent="0.25">
      <c r="B3">
        <v>25</v>
      </c>
      <c r="C3">
        <v>415</v>
      </c>
      <c r="D3">
        <v>500</v>
      </c>
    </row>
    <row r="4" spans="1:11" x14ac:dyDescent="0.25">
      <c r="B4">
        <v>30</v>
      </c>
      <c r="C4">
        <v>333</v>
      </c>
      <c r="D4">
        <v>448</v>
      </c>
    </row>
    <row r="5" spans="1:11" x14ac:dyDescent="0.25">
      <c r="B5">
        <v>40</v>
      </c>
      <c r="C5">
        <v>195</v>
      </c>
      <c r="D5">
        <v>359</v>
      </c>
    </row>
    <row r="6" spans="1:11" x14ac:dyDescent="0.25">
      <c r="B6">
        <v>50</v>
      </c>
      <c r="C6">
        <v>134</v>
      </c>
      <c r="D6">
        <v>276</v>
      </c>
    </row>
    <row r="7" spans="1:11" x14ac:dyDescent="0.25">
      <c r="B7">
        <v>60</v>
      </c>
      <c r="C7">
        <v>102</v>
      </c>
      <c r="D7">
        <v>212</v>
      </c>
    </row>
    <row r="8" spans="1:11" x14ac:dyDescent="0.25">
      <c r="B8">
        <v>70</v>
      </c>
      <c r="C8">
        <v>74</v>
      </c>
      <c r="D8">
        <v>157</v>
      </c>
    </row>
    <row r="9" spans="1:11" x14ac:dyDescent="0.25">
      <c r="B9">
        <v>80</v>
      </c>
      <c r="C9">
        <v>54</v>
      </c>
      <c r="D9">
        <v>118</v>
      </c>
      <c r="E9" t="s">
        <v>4</v>
      </c>
    </row>
    <row r="10" spans="1:11" x14ac:dyDescent="0.25">
      <c r="B10">
        <v>90</v>
      </c>
      <c r="C10">
        <v>43</v>
      </c>
      <c r="D10">
        <v>92</v>
      </c>
    </row>
    <row r="11" spans="1:11" x14ac:dyDescent="0.25">
      <c r="B11">
        <v>100</v>
      </c>
      <c r="C11">
        <v>37</v>
      </c>
      <c r="D11">
        <v>71</v>
      </c>
    </row>
    <row r="12" spans="1:11" x14ac:dyDescent="0.25">
      <c r="B12">
        <v>110</v>
      </c>
      <c r="C12">
        <v>31</v>
      </c>
      <c r="D12">
        <v>57</v>
      </c>
    </row>
    <row r="13" spans="1:11" x14ac:dyDescent="0.25">
      <c r="B13">
        <v>120</v>
      </c>
      <c r="C13">
        <v>27</v>
      </c>
      <c r="D13">
        <v>48</v>
      </c>
    </row>
    <row r="14" spans="1:11" x14ac:dyDescent="0.25">
      <c r="B14">
        <v>130</v>
      </c>
      <c r="C14">
        <v>23</v>
      </c>
      <c r="D14">
        <v>41</v>
      </c>
    </row>
    <row r="15" spans="1:11" x14ac:dyDescent="0.25">
      <c r="B15">
        <v>140</v>
      </c>
      <c r="C15">
        <v>22</v>
      </c>
      <c r="D15">
        <v>35</v>
      </c>
    </row>
    <row r="16" spans="1:11" x14ac:dyDescent="0.25">
      <c r="B16">
        <v>150</v>
      </c>
      <c r="C16">
        <v>20</v>
      </c>
      <c r="D16">
        <v>32</v>
      </c>
    </row>
    <row r="17" spans="1:11" x14ac:dyDescent="0.25">
      <c r="B17">
        <v>160</v>
      </c>
      <c r="C17">
        <v>19</v>
      </c>
      <c r="D17">
        <v>29</v>
      </c>
    </row>
    <row r="18" spans="1:11" x14ac:dyDescent="0.25">
      <c r="B18">
        <v>170</v>
      </c>
      <c r="C18">
        <v>18</v>
      </c>
      <c r="D18">
        <v>26</v>
      </c>
    </row>
    <row r="19" spans="1:11" x14ac:dyDescent="0.25">
      <c r="B19">
        <v>180</v>
      </c>
      <c r="C19">
        <v>17</v>
      </c>
      <c r="D19">
        <v>24</v>
      </c>
    </row>
    <row r="20" spans="1:11" x14ac:dyDescent="0.25">
      <c r="B20">
        <v>190</v>
      </c>
      <c r="C20">
        <v>16</v>
      </c>
      <c r="D20">
        <v>23</v>
      </c>
    </row>
    <row r="21" spans="1:11" x14ac:dyDescent="0.25">
      <c r="B21">
        <v>200</v>
      </c>
      <c r="C21">
        <v>16</v>
      </c>
      <c r="D21">
        <v>22</v>
      </c>
    </row>
    <row r="22" spans="1:11" x14ac:dyDescent="0.25">
      <c r="B22">
        <v>210</v>
      </c>
      <c r="C22">
        <v>15</v>
      </c>
      <c r="D22">
        <v>21</v>
      </c>
    </row>
    <row r="23" spans="1:11" x14ac:dyDescent="0.25">
      <c r="B23">
        <v>220</v>
      </c>
      <c r="C23">
        <v>15</v>
      </c>
      <c r="D23">
        <v>21</v>
      </c>
    </row>
    <row r="24" spans="1:11" x14ac:dyDescent="0.25">
      <c r="B24">
        <v>230</v>
      </c>
      <c r="C24">
        <v>14</v>
      </c>
      <c r="D24">
        <v>20</v>
      </c>
    </row>
    <row r="25" spans="1:11" x14ac:dyDescent="0.25">
      <c r="B25">
        <v>240</v>
      </c>
      <c r="C25">
        <v>14</v>
      </c>
      <c r="D25">
        <v>20</v>
      </c>
    </row>
    <row r="26" spans="1:11" x14ac:dyDescent="0.25">
      <c r="B26">
        <v>250</v>
      </c>
      <c r="C26">
        <v>14</v>
      </c>
      <c r="D26">
        <v>19</v>
      </c>
    </row>
    <row r="27" spans="1:11" ht="15" customHeight="1" x14ac:dyDescent="0.25">
      <c r="B27" s="1" t="s">
        <v>3</v>
      </c>
      <c r="C27" s="1"/>
      <c r="D27" s="1"/>
    </row>
    <row r="28" spans="1:11" ht="14.25" customHeight="1" x14ac:dyDescent="0.25">
      <c r="B28" s="1"/>
      <c r="C28" s="1"/>
      <c r="D28" s="1"/>
    </row>
    <row r="29" spans="1:11" x14ac:dyDescent="0.25">
      <c r="B29" s="1"/>
      <c r="C29" s="1"/>
      <c r="D29" s="1"/>
    </row>
    <row r="30" spans="1:11" x14ac:dyDescent="0.25">
      <c r="B30" s="1"/>
      <c r="C30" s="1"/>
      <c r="D30" s="1"/>
    </row>
    <row r="32" spans="1:11" x14ac:dyDescent="0.25">
      <c r="A32" s="2" t="s">
        <v>6</v>
      </c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4" x14ac:dyDescent="0.25">
      <c r="B33" t="s">
        <v>0</v>
      </c>
      <c r="C33" t="s">
        <v>1</v>
      </c>
      <c r="D33" t="s">
        <v>2</v>
      </c>
    </row>
    <row r="34" spans="2:4" x14ac:dyDescent="0.25">
      <c r="B34">
        <v>25</v>
      </c>
      <c r="C34">
        <v>957</v>
      </c>
    </row>
    <row r="35" spans="2:4" x14ac:dyDescent="0.25">
      <c r="B35">
        <v>30</v>
      </c>
      <c r="C35">
        <v>945</v>
      </c>
    </row>
    <row r="36" spans="2:4" x14ac:dyDescent="0.25">
      <c r="B36">
        <v>40</v>
      </c>
      <c r="C36">
        <v>920</v>
      </c>
    </row>
    <row r="37" spans="2:4" x14ac:dyDescent="0.25">
      <c r="B37">
        <v>50</v>
      </c>
      <c r="C37">
        <v>873</v>
      </c>
    </row>
    <row r="38" spans="2:4" x14ac:dyDescent="0.25">
      <c r="B38">
        <v>60</v>
      </c>
      <c r="C38">
        <v>819</v>
      </c>
      <c r="D38">
        <v>904</v>
      </c>
    </row>
    <row r="39" spans="2:4" x14ac:dyDescent="0.25">
      <c r="B39">
        <v>70</v>
      </c>
      <c r="C39">
        <v>737</v>
      </c>
      <c r="D39">
        <v>876</v>
      </c>
    </row>
    <row r="40" spans="2:4" x14ac:dyDescent="0.25">
      <c r="B40">
        <v>80</v>
      </c>
      <c r="C40">
        <v>682</v>
      </c>
      <c r="D40">
        <v>836</v>
      </c>
    </row>
    <row r="41" spans="2:4" x14ac:dyDescent="0.25">
      <c r="B41">
        <v>90</v>
      </c>
      <c r="C41">
        <v>607</v>
      </c>
      <c r="D41">
        <v>785</v>
      </c>
    </row>
    <row r="42" spans="2:4" x14ac:dyDescent="0.25">
      <c r="B42">
        <v>100</v>
      </c>
      <c r="C42">
        <v>550</v>
      </c>
      <c r="D42">
        <v>734</v>
      </c>
    </row>
    <row r="43" spans="2:4" x14ac:dyDescent="0.25">
      <c r="B43">
        <v>110</v>
      </c>
      <c r="C43">
        <v>469</v>
      </c>
      <c r="D43">
        <v>674</v>
      </c>
    </row>
    <row r="44" spans="2:4" x14ac:dyDescent="0.25">
      <c r="B44">
        <v>120</v>
      </c>
      <c r="C44">
        <v>415</v>
      </c>
      <c r="D44">
        <v>614</v>
      </c>
    </row>
    <row r="45" spans="2:4" x14ac:dyDescent="0.25">
      <c r="B45">
        <v>130</v>
      </c>
      <c r="C45">
        <v>372</v>
      </c>
      <c r="D45">
        <v>549</v>
      </c>
    </row>
    <row r="46" spans="2:4" x14ac:dyDescent="0.25">
      <c r="B46">
        <v>140</v>
      </c>
      <c r="C46">
        <v>320</v>
      </c>
      <c r="D46">
        <v>489</v>
      </c>
    </row>
    <row r="47" spans="2:4" x14ac:dyDescent="0.25">
      <c r="B47">
        <v>150</v>
      </c>
      <c r="C47">
        <v>287</v>
      </c>
      <c r="D47">
        <v>431</v>
      </c>
    </row>
    <row r="48" spans="2:4" x14ac:dyDescent="0.25">
      <c r="B48">
        <v>160</v>
      </c>
      <c r="C48">
        <v>244</v>
      </c>
      <c r="D48">
        <v>374</v>
      </c>
    </row>
    <row r="49" spans="1:11" x14ac:dyDescent="0.25">
      <c r="B49">
        <v>170</v>
      </c>
      <c r="C49">
        <v>197</v>
      </c>
      <c r="D49">
        <v>321</v>
      </c>
    </row>
    <row r="50" spans="1:11" x14ac:dyDescent="0.25">
      <c r="B50">
        <v>180</v>
      </c>
      <c r="C50">
        <v>190</v>
      </c>
      <c r="D50">
        <v>279</v>
      </c>
    </row>
    <row r="51" spans="1:11" x14ac:dyDescent="0.25">
      <c r="B51">
        <v>190</v>
      </c>
      <c r="C51">
        <v>164</v>
      </c>
      <c r="D51">
        <v>241</v>
      </c>
    </row>
    <row r="52" spans="1:11" x14ac:dyDescent="0.25">
      <c r="B52">
        <v>200</v>
      </c>
      <c r="C52">
        <v>152</v>
      </c>
      <c r="D52">
        <v>209</v>
      </c>
    </row>
    <row r="53" spans="1:11" x14ac:dyDescent="0.25">
      <c r="B53">
        <v>210</v>
      </c>
      <c r="C53">
        <v>133</v>
      </c>
      <c r="D53">
        <v>181</v>
      </c>
    </row>
    <row r="54" spans="1:11" x14ac:dyDescent="0.25">
      <c r="B54">
        <v>220</v>
      </c>
      <c r="C54">
        <v>121</v>
      </c>
      <c r="D54">
        <v>155</v>
      </c>
    </row>
    <row r="55" spans="1:11" x14ac:dyDescent="0.25">
      <c r="B55">
        <v>230</v>
      </c>
      <c r="C55">
        <v>111</v>
      </c>
      <c r="D55">
        <v>136</v>
      </c>
    </row>
    <row r="56" spans="1:11" x14ac:dyDescent="0.25">
      <c r="B56">
        <v>240</v>
      </c>
      <c r="C56">
        <v>101</v>
      </c>
      <c r="D56">
        <v>120</v>
      </c>
    </row>
    <row r="57" spans="1:11" x14ac:dyDescent="0.25">
      <c r="B57">
        <v>250</v>
      </c>
      <c r="C57">
        <v>92</v>
      </c>
      <c r="D57">
        <v>105</v>
      </c>
    </row>
    <row r="59" spans="1:11" x14ac:dyDescent="0.25">
      <c r="A59" s="2" t="s">
        <v>7</v>
      </c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5">
      <c r="B60" t="s">
        <v>0</v>
      </c>
      <c r="C60" t="s">
        <v>1</v>
      </c>
      <c r="D60" t="s">
        <v>2</v>
      </c>
    </row>
    <row r="61" spans="1:11" x14ac:dyDescent="0.25">
      <c r="B61">
        <v>25</v>
      </c>
      <c r="C61">
        <v>981</v>
      </c>
    </row>
    <row r="62" spans="1:11" x14ac:dyDescent="0.25">
      <c r="B62">
        <v>30</v>
      </c>
      <c r="C62">
        <v>980</v>
      </c>
    </row>
    <row r="63" spans="1:11" x14ac:dyDescent="0.25">
      <c r="B63">
        <v>40</v>
      </c>
      <c r="C63">
        <v>978</v>
      </c>
    </row>
    <row r="64" spans="1:11" x14ac:dyDescent="0.25">
      <c r="B64">
        <v>50</v>
      </c>
      <c r="C64">
        <v>973</v>
      </c>
    </row>
    <row r="65" spans="2:5" x14ac:dyDescent="0.25">
      <c r="B65">
        <v>60</v>
      </c>
      <c r="C65">
        <v>968</v>
      </c>
    </row>
    <row r="66" spans="2:5" x14ac:dyDescent="0.25">
      <c r="B66">
        <v>70</v>
      </c>
      <c r="C66">
        <v>963</v>
      </c>
    </row>
    <row r="67" spans="2:5" x14ac:dyDescent="0.25">
      <c r="B67">
        <v>80</v>
      </c>
      <c r="C67">
        <v>952</v>
      </c>
    </row>
    <row r="68" spans="2:5" x14ac:dyDescent="0.25">
      <c r="B68">
        <v>90</v>
      </c>
      <c r="C68">
        <v>940</v>
      </c>
    </row>
    <row r="69" spans="2:5" x14ac:dyDescent="0.25">
      <c r="B69">
        <v>100</v>
      </c>
      <c r="C69">
        <v>928</v>
      </c>
      <c r="D69">
        <v>956</v>
      </c>
      <c r="E69">
        <f>-0.258*D69+385</f>
        <v>138.352</v>
      </c>
    </row>
    <row r="70" spans="2:5" x14ac:dyDescent="0.25">
      <c r="B70">
        <v>110</v>
      </c>
      <c r="C70">
        <v>909</v>
      </c>
      <c r="D70">
        <v>947</v>
      </c>
      <c r="E70">
        <f t="shared" ref="E70:E87" si="0">-0.258*D70+385</f>
        <v>140.67400000000001</v>
      </c>
    </row>
    <row r="71" spans="2:5" x14ac:dyDescent="0.25">
      <c r="B71">
        <v>120</v>
      </c>
      <c r="C71">
        <v>882</v>
      </c>
      <c r="D71">
        <v>936</v>
      </c>
      <c r="E71">
        <f t="shared" si="0"/>
        <v>143.512</v>
      </c>
    </row>
    <row r="72" spans="2:5" x14ac:dyDescent="0.25">
      <c r="B72">
        <v>130</v>
      </c>
      <c r="C72">
        <v>858</v>
      </c>
      <c r="D72">
        <v>922</v>
      </c>
      <c r="E72">
        <f t="shared" si="0"/>
        <v>147.124</v>
      </c>
    </row>
    <row r="73" spans="2:5" x14ac:dyDescent="0.25">
      <c r="B73">
        <v>140</v>
      </c>
      <c r="C73">
        <v>836</v>
      </c>
      <c r="D73">
        <v>905</v>
      </c>
      <c r="E73">
        <f t="shared" si="0"/>
        <v>151.51</v>
      </c>
    </row>
    <row r="74" spans="2:5" x14ac:dyDescent="0.25">
      <c r="B74">
        <v>150</v>
      </c>
      <c r="C74">
        <v>803</v>
      </c>
      <c r="D74">
        <v>884</v>
      </c>
      <c r="E74">
        <f t="shared" si="0"/>
        <v>156.928</v>
      </c>
    </row>
    <row r="75" spans="2:5" x14ac:dyDescent="0.25">
      <c r="B75">
        <v>160</v>
      </c>
      <c r="C75">
        <v>775</v>
      </c>
      <c r="D75">
        <v>860</v>
      </c>
      <c r="E75">
        <f t="shared" si="0"/>
        <v>163.12</v>
      </c>
    </row>
    <row r="76" spans="2:5" x14ac:dyDescent="0.25">
      <c r="B76">
        <v>170</v>
      </c>
      <c r="C76">
        <v>737</v>
      </c>
      <c r="D76">
        <v>834</v>
      </c>
      <c r="E76">
        <f t="shared" si="0"/>
        <v>169.828</v>
      </c>
    </row>
    <row r="77" spans="2:5" x14ac:dyDescent="0.25">
      <c r="B77">
        <v>180</v>
      </c>
      <c r="C77">
        <v>703</v>
      </c>
      <c r="D77">
        <v>796</v>
      </c>
      <c r="E77">
        <f t="shared" si="0"/>
        <v>179.63200000000001</v>
      </c>
    </row>
    <row r="78" spans="2:5" x14ac:dyDescent="0.25">
      <c r="B78">
        <v>190</v>
      </c>
      <c r="C78">
        <v>661</v>
      </c>
      <c r="D78">
        <v>761</v>
      </c>
      <c r="E78">
        <f t="shared" si="0"/>
        <v>188.66200000000001</v>
      </c>
    </row>
    <row r="79" spans="2:5" x14ac:dyDescent="0.25">
      <c r="B79">
        <v>200</v>
      </c>
      <c r="C79">
        <v>623</v>
      </c>
      <c r="D79">
        <v>724</v>
      </c>
      <c r="E79">
        <f t="shared" si="0"/>
        <v>198.208</v>
      </c>
    </row>
    <row r="80" spans="2:5" x14ac:dyDescent="0.25">
      <c r="B80">
        <v>210</v>
      </c>
      <c r="C80">
        <v>578</v>
      </c>
      <c r="D80">
        <v>682</v>
      </c>
      <c r="E80">
        <f t="shared" si="0"/>
        <v>209.04399999999998</v>
      </c>
    </row>
    <row r="81" spans="1:10" x14ac:dyDescent="0.25">
      <c r="B81">
        <v>220</v>
      </c>
      <c r="C81">
        <v>542</v>
      </c>
      <c r="D81">
        <v>639</v>
      </c>
      <c r="E81">
        <f t="shared" si="0"/>
        <v>220.13800000000001</v>
      </c>
    </row>
    <row r="82" spans="1:10" x14ac:dyDescent="0.25">
      <c r="B82">
        <v>230</v>
      </c>
      <c r="C82">
        <v>505</v>
      </c>
      <c r="D82">
        <v>596</v>
      </c>
      <c r="E82">
        <f t="shared" si="0"/>
        <v>231.232</v>
      </c>
    </row>
    <row r="83" spans="1:10" x14ac:dyDescent="0.25">
      <c r="B83">
        <v>240</v>
      </c>
      <c r="C83">
        <v>471</v>
      </c>
      <c r="D83">
        <v>558</v>
      </c>
      <c r="E83">
        <f t="shared" si="0"/>
        <v>241.036</v>
      </c>
    </row>
    <row r="84" spans="1:10" x14ac:dyDescent="0.25">
      <c r="B84">
        <v>250</v>
      </c>
      <c r="C84">
        <v>445</v>
      </c>
      <c r="D84">
        <v>524</v>
      </c>
      <c r="E84">
        <f t="shared" si="0"/>
        <v>249.80799999999999</v>
      </c>
    </row>
    <row r="85" spans="1:10" x14ac:dyDescent="0.25">
      <c r="B85">
        <v>260</v>
      </c>
      <c r="C85">
        <v>412</v>
      </c>
      <c r="D85">
        <v>480</v>
      </c>
      <c r="E85">
        <f t="shared" si="0"/>
        <v>261.15999999999997</v>
      </c>
    </row>
    <row r="86" spans="1:10" x14ac:dyDescent="0.25">
      <c r="B86">
        <v>270</v>
      </c>
      <c r="C86">
        <v>384</v>
      </c>
      <c r="D86">
        <v>448</v>
      </c>
      <c r="E86">
        <f t="shared" si="0"/>
        <v>269.416</v>
      </c>
    </row>
    <row r="87" spans="1:10" x14ac:dyDescent="0.25">
      <c r="B87">
        <v>280</v>
      </c>
      <c r="C87">
        <v>355</v>
      </c>
      <c r="D87">
        <v>413</v>
      </c>
      <c r="E87">
        <f t="shared" si="0"/>
        <v>278.44600000000003</v>
      </c>
    </row>
    <row r="89" spans="1:10" x14ac:dyDescent="0.25">
      <c r="A89" s="3" t="s">
        <v>8</v>
      </c>
      <c r="B89" s="3"/>
      <c r="C89" s="3"/>
      <c r="D89" s="3"/>
      <c r="E89" s="3"/>
      <c r="F89" s="3"/>
      <c r="G89" s="3"/>
      <c r="H89" s="3"/>
      <c r="I89" s="3"/>
      <c r="J89" s="3"/>
    </row>
    <row r="90" spans="1:10" x14ac:dyDescent="0.25">
      <c r="B90" t="s">
        <v>0</v>
      </c>
      <c r="C90" t="s">
        <v>1</v>
      </c>
      <c r="D90" t="s">
        <v>2</v>
      </c>
    </row>
    <row r="91" spans="1:10" x14ac:dyDescent="0.25">
      <c r="B91">
        <v>25</v>
      </c>
    </row>
    <row r="92" spans="1:10" x14ac:dyDescent="0.25">
      <c r="B92">
        <v>30</v>
      </c>
    </row>
    <row r="93" spans="1:10" x14ac:dyDescent="0.25">
      <c r="B93">
        <v>40</v>
      </c>
    </row>
    <row r="94" spans="1:10" x14ac:dyDescent="0.25">
      <c r="B94">
        <v>50</v>
      </c>
    </row>
    <row r="95" spans="1:10" x14ac:dyDescent="0.25">
      <c r="B95">
        <v>60</v>
      </c>
    </row>
    <row r="96" spans="1:10" x14ac:dyDescent="0.25">
      <c r="B96">
        <v>70</v>
      </c>
    </row>
    <row r="97" spans="2:2" x14ac:dyDescent="0.25">
      <c r="B97">
        <v>80</v>
      </c>
    </row>
    <row r="98" spans="2:2" x14ac:dyDescent="0.25">
      <c r="B98">
        <v>90</v>
      </c>
    </row>
    <row r="99" spans="2:2" x14ac:dyDescent="0.25">
      <c r="B99">
        <v>100</v>
      </c>
    </row>
    <row r="100" spans="2:2" x14ac:dyDescent="0.25">
      <c r="B100">
        <v>110</v>
      </c>
    </row>
    <row r="101" spans="2:2" x14ac:dyDescent="0.25">
      <c r="B101">
        <v>120</v>
      </c>
    </row>
    <row r="102" spans="2:2" x14ac:dyDescent="0.25">
      <c r="B102">
        <v>130</v>
      </c>
    </row>
    <row r="103" spans="2:2" x14ac:dyDescent="0.25">
      <c r="B103">
        <v>140</v>
      </c>
    </row>
    <row r="104" spans="2:2" x14ac:dyDescent="0.25">
      <c r="B104">
        <v>150</v>
      </c>
    </row>
    <row r="105" spans="2:2" x14ac:dyDescent="0.25">
      <c r="B105">
        <v>160</v>
      </c>
    </row>
    <row r="106" spans="2:2" x14ac:dyDescent="0.25">
      <c r="B106">
        <v>170</v>
      </c>
    </row>
    <row r="107" spans="2:2" x14ac:dyDescent="0.25">
      <c r="B107">
        <v>180</v>
      </c>
    </row>
    <row r="108" spans="2:2" x14ac:dyDescent="0.25">
      <c r="B108">
        <v>190</v>
      </c>
    </row>
    <row r="109" spans="2:2" x14ac:dyDescent="0.25">
      <c r="B109">
        <v>200</v>
      </c>
    </row>
    <row r="110" spans="2:2" x14ac:dyDescent="0.25">
      <c r="B110">
        <v>210</v>
      </c>
    </row>
    <row r="111" spans="2:2" x14ac:dyDescent="0.25">
      <c r="B111">
        <v>220</v>
      </c>
    </row>
    <row r="112" spans="2:2" x14ac:dyDescent="0.25">
      <c r="B112">
        <v>230</v>
      </c>
    </row>
    <row r="113" spans="2:5" x14ac:dyDescent="0.25">
      <c r="B113">
        <v>240</v>
      </c>
    </row>
    <row r="114" spans="2:5" x14ac:dyDescent="0.25">
      <c r="B114">
        <v>250</v>
      </c>
    </row>
    <row r="115" spans="2:5" x14ac:dyDescent="0.25">
      <c r="B115">
        <v>260</v>
      </c>
    </row>
    <row r="116" spans="2:5" x14ac:dyDescent="0.25">
      <c r="B116">
        <v>270</v>
      </c>
    </row>
    <row r="117" spans="2:5" x14ac:dyDescent="0.25">
      <c r="B117">
        <v>280</v>
      </c>
    </row>
    <row r="119" spans="2:5" x14ac:dyDescent="0.25">
      <c r="B119" t="s">
        <v>9</v>
      </c>
      <c r="C119" s="4">
        <v>100000</v>
      </c>
    </row>
    <row r="120" spans="2:5" x14ac:dyDescent="0.25">
      <c r="B120" t="s">
        <v>10</v>
      </c>
      <c r="C120" s="4">
        <v>4410</v>
      </c>
    </row>
    <row r="121" spans="2:5" x14ac:dyDescent="0.25">
      <c r="B121" t="s">
        <v>11</v>
      </c>
      <c r="C121" s="4">
        <v>298.14999999999998</v>
      </c>
    </row>
    <row r="122" spans="2:5" x14ac:dyDescent="0.25">
      <c r="B122" t="s">
        <v>12</v>
      </c>
      <c r="C122" s="4">
        <v>5</v>
      </c>
    </row>
    <row r="123" spans="2:5" x14ac:dyDescent="0.25">
      <c r="B123" t="s">
        <v>13</v>
      </c>
      <c r="C123" s="4">
        <v>985</v>
      </c>
    </row>
    <row r="124" spans="2:5" x14ac:dyDescent="0.25">
      <c r="B124" t="s">
        <v>14</v>
      </c>
      <c r="C124" s="4">
        <v>150</v>
      </c>
    </row>
    <row r="125" spans="2:5" x14ac:dyDescent="0.25">
      <c r="C125" s="4"/>
    </row>
    <row r="126" spans="2:5" x14ac:dyDescent="0.25">
      <c r="B126" t="s">
        <v>15</v>
      </c>
      <c r="C126" s="4" t="s">
        <v>16</v>
      </c>
      <c r="D126" t="s">
        <v>17</v>
      </c>
      <c r="E126" t="s">
        <v>18</v>
      </c>
    </row>
    <row r="127" spans="2:5" x14ac:dyDescent="0.25">
      <c r="B127">
        <v>2</v>
      </c>
      <c r="C127" s="4">
        <f>(B127/$C$123)*$C$122</f>
        <v>1.0152284263959392E-2</v>
      </c>
      <c r="D127" s="4">
        <f>$C$124/($C$123/B127-1)</f>
        <v>0.3051881993896236</v>
      </c>
      <c r="E127" s="4">
        <f>($C$120*$C$121)/($C$120+$C$121*LN(D127/$C$119))-273.15</f>
        <v>1835.4245016637833</v>
      </c>
    </row>
    <row r="128" spans="2:5" x14ac:dyDescent="0.25">
      <c r="B128">
        <v>32</v>
      </c>
      <c r="C128" s="4"/>
      <c r="D128" s="4">
        <f t="shared" ref="D128:D160" si="1">$C$124/($C$123/B128-1)</f>
        <v>5.036726128016789</v>
      </c>
      <c r="E128" s="4">
        <f>($C$120*$C$121)/($C$120+$C$121*LN(D128/$C$119))-273.15</f>
        <v>627.76133520797032</v>
      </c>
    </row>
    <row r="129" spans="2:5" x14ac:dyDescent="0.25">
      <c r="B129">
        <v>64</v>
      </c>
      <c r="C129" s="4"/>
      <c r="D129" s="4">
        <f t="shared" si="1"/>
        <v>10.423452768729641</v>
      </c>
      <c r="E129" s="4">
        <f t="shared" ref="E129:E160" si="2">($C$120*$C$121)/($C$120+$C$121*LN(D129/$C$119))-273.15</f>
        <v>511.22017347437531</v>
      </c>
    </row>
    <row r="130" spans="2:5" x14ac:dyDescent="0.25">
      <c r="B130">
        <v>96</v>
      </c>
      <c r="C130" s="4"/>
      <c r="D130" s="4">
        <f t="shared" si="1"/>
        <v>16.197975253093365</v>
      </c>
      <c r="E130" s="4">
        <f t="shared" si="2"/>
        <v>454.19190652667783</v>
      </c>
    </row>
    <row r="131" spans="2:5" x14ac:dyDescent="0.25">
      <c r="B131">
        <v>128</v>
      </c>
      <c r="C131" s="4"/>
      <c r="D131" s="4">
        <f t="shared" si="1"/>
        <v>22.403733955659277</v>
      </c>
      <c r="E131" s="4">
        <f t="shared" si="2"/>
        <v>417.25937527102508</v>
      </c>
    </row>
    <row r="132" spans="2:5" x14ac:dyDescent="0.25">
      <c r="B132">
        <v>160</v>
      </c>
      <c r="C132" s="4"/>
      <c r="D132" s="4">
        <f t="shared" si="1"/>
        <v>29.09090909090909</v>
      </c>
      <c r="E132" s="4">
        <f t="shared" si="2"/>
        <v>390.13628951094938</v>
      </c>
    </row>
    <row r="133" spans="2:5" x14ac:dyDescent="0.25">
      <c r="B133">
        <v>192</v>
      </c>
      <c r="C133" s="4"/>
      <c r="D133" s="4">
        <f t="shared" si="1"/>
        <v>36.317780580075663</v>
      </c>
      <c r="E133" s="4">
        <f t="shared" si="2"/>
        <v>368.71585716079983</v>
      </c>
    </row>
    <row r="134" spans="2:5" x14ac:dyDescent="0.25">
      <c r="B134">
        <v>224</v>
      </c>
      <c r="C134" s="4"/>
      <c r="D134" s="4">
        <f t="shared" si="1"/>
        <v>44.152431011826543</v>
      </c>
      <c r="E134" s="4">
        <f t="shared" si="2"/>
        <v>350.97122386665444</v>
      </c>
    </row>
    <row r="135" spans="2:5" x14ac:dyDescent="0.25">
      <c r="B135">
        <v>256</v>
      </c>
      <c r="C135" s="4"/>
      <c r="D135" s="4">
        <f t="shared" si="1"/>
        <v>52.674897119341566</v>
      </c>
      <c r="E135" s="4">
        <f t="shared" si="2"/>
        <v>335.7619845631765</v>
      </c>
    </row>
    <row r="136" spans="2:5" x14ac:dyDescent="0.25">
      <c r="B136">
        <v>288</v>
      </c>
      <c r="C136" s="4"/>
      <c r="D136" s="4">
        <f t="shared" si="1"/>
        <v>61.979913916786231</v>
      </c>
      <c r="E136" s="4">
        <f t="shared" si="2"/>
        <v>322.38572038428777</v>
      </c>
    </row>
    <row r="137" spans="2:5" x14ac:dyDescent="0.25">
      <c r="B137">
        <v>320</v>
      </c>
      <c r="C137" s="4"/>
      <c r="D137" s="4">
        <f t="shared" si="1"/>
        <v>72.180451127819552</v>
      </c>
      <c r="E137" s="4">
        <f t="shared" si="2"/>
        <v>310.37967553884312</v>
      </c>
    </row>
    <row r="138" spans="2:5" x14ac:dyDescent="0.25">
      <c r="B138">
        <v>352</v>
      </c>
      <c r="C138" s="4"/>
      <c r="D138" s="4">
        <f t="shared" si="1"/>
        <v>83.412322274881518</v>
      </c>
      <c r="E138" s="4">
        <f t="shared" si="2"/>
        <v>299.42237631948012</v>
      </c>
    </row>
    <row r="139" spans="2:5" x14ac:dyDescent="0.25">
      <c r="B139">
        <v>384</v>
      </c>
      <c r="C139" s="4"/>
      <c r="D139" s="4">
        <f t="shared" si="1"/>
        <v>95.840266222961745</v>
      </c>
      <c r="E139" s="4">
        <f t="shared" si="2"/>
        <v>289.28041902690575</v>
      </c>
    </row>
    <row r="140" spans="2:5" x14ac:dyDescent="0.25">
      <c r="B140">
        <v>416</v>
      </c>
      <c r="C140" s="4"/>
      <c r="D140" s="4">
        <f t="shared" si="1"/>
        <v>109.66608084358522</v>
      </c>
      <c r="E140" s="4">
        <f t="shared" si="2"/>
        <v>279.77764244586183</v>
      </c>
    </row>
    <row r="141" spans="2:5" x14ac:dyDescent="0.25">
      <c r="B141">
        <v>448</v>
      </c>
      <c r="C141" s="4"/>
      <c r="D141" s="4">
        <f t="shared" si="1"/>
        <v>125.13966480446926</v>
      </c>
      <c r="E141" s="4">
        <f t="shared" si="2"/>
        <v>270.77620740355076</v>
      </c>
    </row>
    <row r="142" spans="2:5" x14ac:dyDescent="0.25">
      <c r="B142">
        <v>480</v>
      </c>
      <c r="C142" s="4"/>
      <c r="D142" s="4">
        <f t="shared" si="1"/>
        <v>142.57425742574256</v>
      </c>
      <c r="E142" s="4">
        <f t="shared" si="2"/>
        <v>262.16436188160185</v>
      </c>
    </row>
    <row r="143" spans="2:5" x14ac:dyDescent="0.25">
      <c r="B143">
        <v>512</v>
      </c>
      <c r="C143" s="4"/>
      <c r="D143" s="4">
        <f t="shared" si="1"/>
        <v>162.36786469344608</v>
      </c>
      <c r="E143" s="4">
        <f t="shared" si="2"/>
        <v>253.84810436535633</v>
      </c>
    </row>
    <row r="144" spans="2:5" x14ac:dyDescent="0.25">
      <c r="B144">
        <v>544</v>
      </c>
      <c r="C144" s="4"/>
      <c r="D144" s="4">
        <f t="shared" si="1"/>
        <v>185.0340136054422</v>
      </c>
      <c r="E144" s="4">
        <f t="shared" si="2"/>
        <v>245.74515663232182</v>
      </c>
    </row>
    <row r="145" spans="2:5" x14ac:dyDescent="0.25">
      <c r="B145">
        <v>576</v>
      </c>
      <c r="C145" s="4"/>
      <c r="D145" s="4">
        <f t="shared" si="1"/>
        <v>211.24694376528117</v>
      </c>
      <c r="E145" s="4">
        <f t="shared" si="2"/>
        <v>237.78026922418559</v>
      </c>
    </row>
    <row r="146" spans="2:5" x14ac:dyDescent="0.25">
      <c r="B146">
        <v>608</v>
      </c>
      <c r="C146" s="4"/>
      <c r="D146" s="4">
        <f t="shared" si="1"/>
        <v>241.90981432360741</v>
      </c>
      <c r="E146" s="4">
        <f t="shared" si="2"/>
        <v>229.88119063782136</v>
      </c>
    </row>
    <row r="147" spans="2:5" x14ac:dyDescent="0.25">
      <c r="B147">
        <v>640</v>
      </c>
      <c r="C147" s="4"/>
      <c r="D147" s="4">
        <f t="shared" si="1"/>
        <v>278.26086956521738</v>
      </c>
      <c r="E147" s="4">
        <f t="shared" si="2"/>
        <v>221.97475770031599</v>
      </c>
    </row>
    <row r="148" spans="2:5" x14ac:dyDescent="0.25">
      <c r="B148">
        <v>672</v>
      </c>
      <c r="C148" s="4"/>
      <c r="D148" s="4">
        <f t="shared" si="1"/>
        <v>322.0447284345048</v>
      </c>
      <c r="E148" s="4">
        <f t="shared" si="2"/>
        <v>213.98255074470222</v>
      </c>
    </row>
    <row r="149" spans="2:5" x14ac:dyDescent="0.25">
      <c r="B149">
        <v>704</v>
      </c>
      <c r="C149" s="4"/>
      <c r="D149" s="4">
        <f t="shared" si="1"/>
        <v>375.80071174377224</v>
      </c>
      <c r="E149" s="4">
        <f t="shared" si="2"/>
        <v>205.81538301099403</v>
      </c>
    </row>
    <row r="150" spans="2:5" x14ac:dyDescent="0.25">
      <c r="B150">
        <v>736</v>
      </c>
      <c r="C150" s="4"/>
      <c r="D150" s="4">
        <f t="shared" si="1"/>
        <v>443.3734939759035</v>
      </c>
      <c r="E150" s="4">
        <f t="shared" si="2"/>
        <v>197.3654567976568</v>
      </c>
    </row>
    <row r="151" spans="2:5" x14ac:dyDescent="0.25">
      <c r="B151">
        <v>768</v>
      </c>
      <c r="C151" s="4"/>
      <c r="D151" s="4">
        <f t="shared" si="1"/>
        <v>530.87557603686651</v>
      </c>
      <c r="E151" s="4">
        <f t="shared" si="2"/>
        <v>188.49404367786371</v>
      </c>
    </row>
    <row r="152" spans="2:5" x14ac:dyDescent="0.25">
      <c r="B152">
        <v>800</v>
      </c>
      <c r="C152" s="4"/>
      <c r="D152" s="4">
        <f t="shared" si="1"/>
        <v>648.64864864864876</v>
      </c>
      <c r="E152" s="4">
        <f t="shared" si="2"/>
        <v>179.01030156054713</v>
      </c>
    </row>
    <row r="153" spans="2:5" x14ac:dyDescent="0.25">
      <c r="B153">
        <v>832</v>
      </c>
      <c r="C153" s="4"/>
      <c r="D153" s="4">
        <f t="shared" si="1"/>
        <v>815.68627450980364</v>
      </c>
      <c r="E153" s="4">
        <f t="shared" si="2"/>
        <v>168.63120942188237</v>
      </c>
    </row>
    <row r="154" spans="2:5" x14ac:dyDescent="0.25">
      <c r="B154">
        <v>864</v>
      </c>
      <c r="C154" s="4"/>
      <c r="D154" s="4">
        <f t="shared" si="1"/>
        <v>1071.0743801652893</v>
      </c>
      <c r="E154" s="4">
        <f t="shared" si="2"/>
        <v>156.8965203468918</v>
      </c>
    </row>
    <row r="155" spans="2:5" x14ac:dyDescent="0.25">
      <c r="B155">
        <v>896</v>
      </c>
      <c r="C155" s="4"/>
      <c r="D155" s="4">
        <f t="shared" si="1"/>
        <v>1510.1123595505608</v>
      </c>
      <c r="E155" s="4">
        <f t="shared" si="2"/>
        <v>142.95736123664062</v>
      </c>
    </row>
    <row r="156" spans="2:5" x14ac:dyDescent="0.25">
      <c r="B156">
        <v>928</v>
      </c>
      <c r="C156" s="4"/>
      <c r="D156" s="4">
        <f t="shared" si="1"/>
        <v>2442.1052631578955</v>
      </c>
      <c r="E156" s="4">
        <f t="shared" si="2"/>
        <v>124.90385886552525</v>
      </c>
    </row>
    <row r="157" spans="2:5" x14ac:dyDescent="0.25">
      <c r="B157">
        <v>960</v>
      </c>
      <c r="C157" s="4"/>
      <c r="D157" s="4">
        <f t="shared" si="1"/>
        <v>5759.9999999999836</v>
      </c>
      <c r="E157" s="4">
        <f t="shared" si="2"/>
        <v>96.290183913711985</v>
      </c>
    </row>
    <row r="158" spans="2:5" x14ac:dyDescent="0.25">
      <c r="B158">
        <v>965</v>
      </c>
      <c r="C158" s="4"/>
      <c r="D158" s="4">
        <f t="shared" si="1"/>
        <v>7237.4999999999745</v>
      </c>
      <c r="E158" s="4">
        <f t="shared" si="2"/>
        <v>89.355932970909521</v>
      </c>
    </row>
    <row r="159" spans="2:5" x14ac:dyDescent="0.25">
      <c r="B159">
        <v>970</v>
      </c>
      <c r="C159" s="4"/>
      <c r="D159" s="4">
        <f t="shared" si="1"/>
        <v>9700.0000000000346</v>
      </c>
      <c r="E159" s="4">
        <f t="shared" si="2"/>
        <v>80.83462579209305</v>
      </c>
    </row>
    <row r="160" spans="2:5" x14ac:dyDescent="0.25">
      <c r="B160">
        <v>979</v>
      </c>
      <c r="C160" s="4"/>
      <c r="D160" s="4">
        <f t="shared" si="1"/>
        <v>24475.000000000102</v>
      </c>
      <c r="E160" s="4">
        <f t="shared" si="2"/>
        <v>56.355429670246963</v>
      </c>
    </row>
    <row r="161" spans="3:3" x14ac:dyDescent="0.25">
      <c r="C161" s="4"/>
    </row>
  </sheetData>
  <mergeCells count="5">
    <mergeCell ref="B27:D30"/>
    <mergeCell ref="A1:K1"/>
    <mergeCell ref="A32:K32"/>
    <mergeCell ref="A59:K59"/>
    <mergeCell ref="A89:J89"/>
  </mergeCells>
  <pageMargins left="0.7" right="0.7" top="0.75" bottom="0.75" header="0.3" footer="0.3"/>
  <pageSetup paperSize="9" orientation="portrait" horizontalDpi="120" verticalDpi="7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Cassini</dc:creator>
  <cp:lastModifiedBy>Cassini</cp:lastModifiedBy>
  <dcterms:created xsi:type="dcterms:W3CDTF">2025-03-28T11:04:27Z</dcterms:created>
  <dcterms:modified xsi:type="dcterms:W3CDTF">2025-03-31T21:10:12Z</dcterms:modified>
</cp:coreProperties>
</file>